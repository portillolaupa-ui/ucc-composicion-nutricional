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portillo/Documents/Proyectos Data Science/ucc-composicion-nutricional/data/raw/"/>
    </mc:Choice>
  </mc:AlternateContent>
  <xr:revisionPtr revIDLastSave="0" documentId="13_ncr:1_{23CB4822-7F1C-CA46-9B8E-3343EDE89891}" xr6:coauthVersionLast="47" xr6:coauthVersionMax="47" xr10:uidLastSave="{00000000-0000-0000-0000-000000000000}"/>
  <bookViews>
    <workbookView xWindow="0" yWindow="500" windowWidth="19420" windowHeight="10300" xr2:uid="{CE3E7F8D-6332-4E11-B4FE-07A0FB4469C3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2" l="1"/>
  <c r="T3" i="2" s="1"/>
  <c r="R4" i="2"/>
  <c r="T4" i="2" s="1"/>
  <c r="R5" i="2"/>
  <c r="T5" i="2" s="1"/>
  <c r="R6" i="2"/>
  <c r="T6" i="2" s="1"/>
  <c r="R7" i="2"/>
  <c r="T7" i="2" s="1"/>
  <c r="R8" i="2"/>
  <c r="T8" i="2" s="1"/>
  <c r="R9" i="2"/>
  <c r="T9" i="2" s="1"/>
  <c r="R10" i="2"/>
  <c r="T10" i="2" s="1"/>
  <c r="R11" i="2"/>
  <c r="T11" i="2" s="1"/>
  <c r="R12" i="2"/>
  <c r="T12" i="2" s="1"/>
  <c r="R15" i="2"/>
  <c r="T15" i="2" s="1"/>
  <c r="R16" i="2"/>
  <c r="T16" i="2" s="1"/>
  <c r="R2" i="2"/>
  <c r="T2" i="2" s="1"/>
  <c r="P14" i="2" l="1"/>
  <c r="R14" i="2" s="1"/>
  <c r="T14" i="2" s="1"/>
  <c r="P13" i="2"/>
  <c r="R13" i="2" s="1"/>
  <c r="T13" i="2" s="1"/>
</calcChain>
</file>

<file path=xl/sharedStrings.xml><?xml version="1.0" encoding="utf-8"?>
<sst xmlns="http://schemas.openxmlformats.org/spreadsheetml/2006/main" count="187" uniqueCount="74">
  <si>
    <t>% COMESTIBLE</t>
  </si>
  <si>
    <t>UT</t>
  </si>
  <si>
    <t>CUSCO</t>
  </si>
  <si>
    <t>1/2 KILO</t>
  </si>
  <si>
    <t>5 CUCHARADAS</t>
  </si>
  <si>
    <t>7 CUCHARADAS</t>
  </si>
  <si>
    <t>SAL</t>
  </si>
  <si>
    <t>1 CUCHARILA</t>
  </si>
  <si>
    <t>QUINUA</t>
  </si>
  <si>
    <t>BETERRAGA</t>
  </si>
  <si>
    <t>ZANAHORIA</t>
  </si>
  <si>
    <t>OREGANO</t>
  </si>
  <si>
    <t>1/2 CUCHARADA</t>
  </si>
  <si>
    <t>HARINA DE CHUÑO</t>
  </si>
  <si>
    <t>GALLETA DE VAINILLA</t>
  </si>
  <si>
    <t xml:space="preserve">CHANCACA </t>
  </si>
  <si>
    <t>1 CUCHARA</t>
  </si>
  <si>
    <t>3 UNID</t>
  </si>
  <si>
    <t>PUNO</t>
  </si>
  <si>
    <t>KIWICHA</t>
  </si>
  <si>
    <t>AZUCAR</t>
  </si>
  <si>
    <t>1 RAJITA</t>
  </si>
  <si>
    <t>1 CUCHARADA</t>
  </si>
  <si>
    <t>CODIGO DEL ALIMENTO -TPCA 2017</t>
  </si>
  <si>
    <t>HIGADO RES</t>
  </si>
  <si>
    <t xml:space="preserve">MAICENA </t>
  </si>
  <si>
    <t>SANGRECITA POLLO COCIDA</t>
  </si>
  <si>
    <t>CANELA ENTERA</t>
  </si>
  <si>
    <t>NARANJA ZUMO</t>
  </si>
  <si>
    <t>1/2 UNIDAD PEQUEÑA</t>
  </si>
  <si>
    <t>1/4 BETERRAGA MED</t>
  </si>
  <si>
    <t>1/4 ZANAHORIA MED</t>
  </si>
  <si>
    <t>INGREDIENTE REGISTRADO:</t>
  </si>
  <si>
    <t>CANTIDAD REGISTRADA:</t>
  </si>
  <si>
    <t>CALORIAS
(kcal)</t>
  </si>
  <si>
    <t>PROTEÍNA
(g)</t>
  </si>
  <si>
    <t>HIERRO
(mg)</t>
  </si>
  <si>
    <t>VITAMINA A
(ug)</t>
  </si>
  <si>
    <t>VITAMINA C 
(mg)</t>
  </si>
  <si>
    <t>APANADO DE HIGADO</t>
  </si>
  <si>
    <t>MOUSSE DE SANGRECITA</t>
  </si>
  <si>
    <t>BEBIDA DE KIWICHA</t>
  </si>
  <si>
    <t>TIPO RECETA</t>
  </si>
  <si>
    <t>ALMUERZO</t>
  </si>
  <si>
    <t>DESAYUNO</t>
  </si>
  <si>
    <t>GESTANTE</t>
  </si>
  <si>
    <t>NIÑO</t>
  </si>
  <si>
    <t>NOMBRE DE RECETA</t>
  </si>
  <si>
    <t>NUMERO DE RECETA</t>
  </si>
  <si>
    <t xml:space="preserve">GL </t>
  </si>
  <si>
    <t>YURI HUILLCA CONDORI</t>
  </si>
  <si>
    <t>JORGE PEREZ RAMIREZ</t>
  </si>
  <si>
    <t>USUARIA</t>
  </si>
  <si>
    <t>YANETH CONDORI HUAYLLA</t>
  </si>
  <si>
    <t>DNI_USUARIA</t>
  </si>
  <si>
    <t>CELULAR_USUARIA</t>
  </si>
  <si>
    <t>PROV_USUARIA</t>
  </si>
  <si>
    <t>DISTR_USUARIA</t>
  </si>
  <si>
    <t>ESPINAR</t>
  </si>
  <si>
    <t>PALLPATA</t>
  </si>
  <si>
    <t>GRUPO ETAREO_RECET</t>
  </si>
  <si>
    <t>JUANA LOPEZ GOMEZ</t>
  </si>
  <si>
    <t>ANGEL NINA QUISPE</t>
  </si>
  <si>
    <t xml:space="preserve"> PORCIONES REGISTRADA x RECETA </t>
  </si>
  <si>
    <t>PESO NETO_ RACION (g)</t>
  </si>
  <si>
    <t>PESO NETO_RECETA (g)</t>
  </si>
  <si>
    <t>PESO BRUTO_RECETA (g)</t>
  </si>
  <si>
    <t>GRUPO_ALIMENTO_TPCA2017</t>
  </si>
  <si>
    <t>F</t>
  </si>
  <si>
    <t>A</t>
  </si>
  <si>
    <t>U</t>
  </si>
  <si>
    <t>B</t>
  </si>
  <si>
    <t>C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</si>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</sst>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ED0000"/>
      <name val="Calibri Light"/>
      <family val="2"/>
      <scheme val="maj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5D3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" fontId="2" fillId="0" borderId="1" xfId="0" applyNumberFormat="1" applyFont="1" applyBorder="1" applyAlignment="1">
      <alignment horizontal="center"/>
    </xf>
    <xf numFmtId="9" fontId="2" fillId="0" borderId="1" xfId="0" applyNumberFormat="1" applyFont="1" applyBorder="1"/>
    <xf numFmtId="1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B2E0-13A2-4701-A515-5DDEEA60911E}">
  <dimension ref="A1:Y16"/>
  <sheetViews>
    <sheetView tabSelected="1" topLeftCell="H1" zoomScale="111" zoomScaleNormal="70" workbookViewId="0">
      <selection activeCell="L17" sqref="L17"/>
    </sheetView>
  </sheetViews>
  <sheetFormatPr baseColWidth="10" defaultRowHeight="15" x14ac:dyDescent="0.2"/>
  <cols>
    <col min="2" max="2" width="20" bestFit="1" customWidth="1"/>
    <col min="3" max="3" width="23.33203125" bestFit="1" customWidth="1"/>
    <col min="4" max="4" width="14.5" customWidth="1"/>
    <col min="5" max="7" width="18.1640625" customWidth="1"/>
    <col min="8" max="8" width="12.6640625" style="15" customWidth="1"/>
    <col min="9" max="9" width="21.5" bestFit="1" customWidth="1"/>
    <col min="10" max="11" width="15.33203125" customWidth="1"/>
    <col min="12" max="12" width="20.6640625" bestFit="1" customWidth="1"/>
    <col min="13" max="13" width="20.6640625" customWidth="1"/>
    <col min="14" max="14" width="24.33203125" bestFit="1" customWidth="1"/>
    <col min="15" max="15" width="19.5" bestFit="1" customWidth="1"/>
    <col min="16" max="16" width="15.6640625" style="1" customWidth="1"/>
    <col min="17" max="18" width="14.6640625" customWidth="1"/>
    <col min="19" max="19" width="18.6640625" customWidth="1"/>
    <col min="20" max="20" width="15.33203125" customWidth="1"/>
    <col min="24" max="24" width="12.83203125" customWidth="1"/>
    <col min="25" max="25" width="12.5" customWidth="1"/>
  </cols>
  <sheetData>
    <row r="1" spans="1:25" s="2" customFormat="1" ht="32" x14ac:dyDescent="0.2">
      <c r="A1" s="3" t="s">
        <v>1</v>
      </c>
      <c r="B1" s="3" t="s">
        <v>49</v>
      </c>
      <c r="C1" s="3" t="s">
        <v>52</v>
      </c>
      <c r="D1" s="3" t="s">
        <v>54</v>
      </c>
      <c r="E1" s="3" t="s">
        <v>55</v>
      </c>
      <c r="F1" s="3" t="s">
        <v>56</v>
      </c>
      <c r="G1" s="3" t="s">
        <v>57</v>
      </c>
      <c r="H1" s="3" t="s">
        <v>48</v>
      </c>
      <c r="I1" s="4" t="s">
        <v>47</v>
      </c>
      <c r="J1" s="4" t="s">
        <v>42</v>
      </c>
      <c r="K1" s="4" t="s">
        <v>60</v>
      </c>
      <c r="L1" s="4" t="s">
        <v>23</v>
      </c>
      <c r="M1" s="4" t="s">
        <v>67</v>
      </c>
      <c r="N1" s="5" t="s">
        <v>32</v>
      </c>
      <c r="O1" s="5" t="s">
        <v>33</v>
      </c>
      <c r="P1" s="3" t="s">
        <v>66</v>
      </c>
      <c r="Q1" s="3" t="s">
        <v>0</v>
      </c>
      <c r="R1" s="3" t="s">
        <v>65</v>
      </c>
      <c r="S1" s="13" t="s">
        <v>63</v>
      </c>
      <c r="T1" s="3" t="s">
        <v>64</v>
      </c>
      <c r="U1" s="6" t="s">
        <v>34</v>
      </c>
      <c r="V1" s="6" t="s">
        <v>35</v>
      </c>
      <c r="W1" s="6" t="s">
        <v>36</v>
      </c>
      <c r="X1" s="6" t="s">
        <v>37</v>
      </c>
      <c r="Y1" s="6" t="s">
        <v>38</v>
      </c>
    </row>
    <row r="2" spans="1:25" x14ac:dyDescent="0.2">
      <c r="A2" s="7" t="s">
        <v>2</v>
      </c>
      <c r="B2" s="7" t="s">
        <v>50</v>
      </c>
      <c r="C2" s="7" t="s">
        <v>53</v>
      </c>
      <c r="D2" s="7">
        <v>71955421</v>
      </c>
      <c r="E2" s="7">
        <v>941296790</v>
      </c>
      <c r="F2" s="16" t="s">
        <v>58</v>
      </c>
      <c r="G2" s="16" t="s">
        <v>59</v>
      </c>
      <c r="H2" s="14">
        <v>1</v>
      </c>
      <c r="I2" s="7" t="s">
        <v>39</v>
      </c>
      <c r="J2" s="7" t="s">
        <v>43</v>
      </c>
      <c r="K2" s="7" t="s">
        <v>45</v>
      </c>
      <c r="L2" s="7">
        <v>38</v>
      </c>
      <c r="M2" s="7" t="s">
        <v>68</v>
      </c>
      <c r="N2" s="7" t="s">
        <v>24</v>
      </c>
      <c r="O2" s="7" t="s">
        <v>3</v>
      </c>
      <c r="P2" s="8">
        <v>500</v>
      </c>
      <c r="Q2" s="9">
        <v>1</v>
      </c>
      <c r="R2" s="10">
        <f t="shared" ref="R2:R16" si="0">P2*Q2</f>
        <v>500</v>
      </c>
      <c r="S2" s="11">
        <v>3</v>
      </c>
      <c r="T2" s="10">
        <f>R2/S2</f>
        <v>166.66666666666666</v>
      </c>
      <c r="U2" s="7"/>
      <c r="V2" s="7"/>
      <c r="W2" s="7"/>
      <c r="X2" s="7"/>
      <c r="Y2" s="7"/>
    </row>
    <row r="3" spans="1:25" x14ac:dyDescent="0.2">
      <c r="A3" s="7" t="s">
        <v>2</v>
      </c>
      <c r="B3" s="7" t="s">
        <v>50</v>
      </c>
      <c r="C3" s="7" t="s">
        <v>53</v>
      </c>
      <c r="D3" s="7">
        <v>71955421</v>
      </c>
      <c r="E3" s="7">
        <v>941296790</v>
      </c>
      <c r="F3" s="16" t="s">
        <v>58</v>
      </c>
      <c r="G3" s="16" t="s">
        <v>59</v>
      </c>
      <c r="H3" s="14">
        <v>1</v>
      </c>
      <c r="I3" s="7" t="s">
        <v>39</v>
      </c>
      <c r="J3" s="7" t="s">
        <v>43</v>
      </c>
      <c r="K3" s="7" t="s">
        <v>45</v>
      </c>
      <c r="L3" s="7">
        <v>37</v>
      </c>
      <c r="M3" s="7" t="s">
        <v>69</v>
      </c>
      <c r="N3" s="7" t="s">
        <v>25</v>
      </c>
      <c r="O3" s="7" t="s">
        <v>4</v>
      </c>
      <c r="P3" s="8">
        <v>25</v>
      </c>
      <c r="Q3" s="9">
        <v>1</v>
      </c>
      <c r="R3" s="10">
        <f t="shared" si="0"/>
        <v>25</v>
      </c>
      <c r="S3" s="11">
        <v>3</v>
      </c>
      <c r="T3" s="10">
        <f t="shared" ref="T3:T16" si="1">R3/S3</f>
        <v>8.3333333333333339</v>
      </c>
      <c r="U3" s="7"/>
      <c r="V3" s="7"/>
      <c r="W3" s="7"/>
      <c r="X3" s="7"/>
      <c r="Y3" s="7"/>
    </row>
    <row r="4" spans="1:25" x14ac:dyDescent="0.2">
      <c r="A4" s="7" t="s">
        <v>2</v>
      </c>
      <c r="B4" s="7" t="s">
        <v>50</v>
      </c>
      <c r="C4" s="7" t="s">
        <v>53</v>
      </c>
      <c r="D4" s="7">
        <v>71955421</v>
      </c>
      <c r="E4" s="7">
        <v>941296790</v>
      </c>
      <c r="F4" s="16" t="s">
        <v>58</v>
      </c>
      <c r="G4" s="16" t="s">
        <v>59</v>
      </c>
      <c r="H4" s="14">
        <v>1</v>
      </c>
      <c r="I4" s="7" t="s">
        <v>39</v>
      </c>
      <c r="J4" s="7" t="s">
        <v>43</v>
      </c>
      <c r="K4" s="7" t="s">
        <v>45</v>
      </c>
      <c r="L4" s="7">
        <v>37</v>
      </c>
      <c r="M4" s="7" t="s">
        <v>69</v>
      </c>
      <c r="N4" s="7" t="s">
        <v>13</v>
      </c>
      <c r="O4" s="7" t="s">
        <v>5</v>
      </c>
      <c r="P4" s="8">
        <v>35</v>
      </c>
      <c r="Q4" s="9">
        <v>1</v>
      </c>
      <c r="R4" s="10">
        <f t="shared" si="0"/>
        <v>35</v>
      </c>
      <c r="S4" s="11">
        <v>3</v>
      </c>
      <c r="T4" s="10">
        <f t="shared" si="1"/>
        <v>11.666666666666666</v>
      </c>
      <c r="U4" s="7"/>
      <c r="V4" s="7"/>
      <c r="W4" s="7"/>
      <c r="X4" s="7"/>
      <c r="Y4" s="7"/>
    </row>
    <row r="5" spans="1:25" x14ac:dyDescent="0.2">
      <c r="A5" s="7" t="s">
        <v>2</v>
      </c>
      <c r="B5" s="7" t="s">
        <v>50</v>
      </c>
      <c r="C5" s="7" t="s">
        <v>53</v>
      </c>
      <c r="D5" s="7">
        <v>71955421</v>
      </c>
      <c r="E5" s="7">
        <v>941296790</v>
      </c>
      <c r="F5" s="16" t="s">
        <v>58</v>
      </c>
      <c r="G5" s="16" t="s">
        <v>59</v>
      </c>
      <c r="H5" s="14">
        <v>1</v>
      </c>
      <c r="I5" s="7" t="s">
        <v>39</v>
      </c>
      <c r="J5" s="7" t="s">
        <v>43</v>
      </c>
      <c r="K5" s="7" t="s">
        <v>45</v>
      </c>
      <c r="L5" s="12"/>
      <c r="M5" s="12"/>
      <c r="N5" s="7" t="s">
        <v>6</v>
      </c>
      <c r="O5" s="7" t="s">
        <v>7</v>
      </c>
      <c r="P5" s="8">
        <v>2</v>
      </c>
      <c r="Q5" s="9">
        <v>1</v>
      </c>
      <c r="R5" s="10">
        <f t="shared" si="0"/>
        <v>2</v>
      </c>
      <c r="S5" s="11">
        <v>3</v>
      </c>
      <c r="T5" s="10">
        <f t="shared" si="1"/>
        <v>0.66666666666666663</v>
      </c>
      <c r="U5" s="7"/>
      <c r="V5" s="7"/>
      <c r="W5" s="7"/>
      <c r="X5" s="7"/>
      <c r="Y5" s="7"/>
    </row>
    <row r="6" spans="1:25" x14ac:dyDescent="0.2">
      <c r="A6" s="7" t="s">
        <v>2</v>
      </c>
      <c r="B6" s="7" t="s">
        <v>50</v>
      </c>
      <c r="C6" s="7" t="s">
        <v>53</v>
      </c>
      <c r="D6" s="7">
        <v>71955421</v>
      </c>
      <c r="E6" s="7">
        <v>941296790</v>
      </c>
      <c r="F6" s="16" t="s">
        <v>58</v>
      </c>
      <c r="G6" s="16" t="s">
        <v>59</v>
      </c>
      <c r="H6" s="14">
        <v>1</v>
      </c>
      <c r="I6" s="7" t="s">
        <v>39</v>
      </c>
      <c r="J6" s="7" t="s">
        <v>43</v>
      </c>
      <c r="K6" s="7" t="s">
        <v>45</v>
      </c>
      <c r="L6" s="7">
        <v>52</v>
      </c>
      <c r="M6" s="7" t="s">
        <v>69</v>
      </c>
      <c r="N6" s="7" t="s">
        <v>8</v>
      </c>
      <c r="O6" s="7" t="s">
        <v>3</v>
      </c>
      <c r="P6" s="8">
        <v>500</v>
      </c>
      <c r="Q6" s="9">
        <v>1</v>
      </c>
      <c r="R6" s="10">
        <f t="shared" si="0"/>
        <v>500</v>
      </c>
      <c r="S6" s="11">
        <v>3</v>
      </c>
      <c r="T6" s="10">
        <f t="shared" si="1"/>
        <v>166.66666666666666</v>
      </c>
      <c r="U6" s="7"/>
      <c r="V6" s="7"/>
      <c r="W6" s="7"/>
      <c r="X6" s="7"/>
      <c r="Y6" s="7"/>
    </row>
    <row r="7" spans="1:25" x14ac:dyDescent="0.2">
      <c r="A7" s="7" t="s">
        <v>2</v>
      </c>
      <c r="B7" s="7" t="s">
        <v>50</v>
      </c>
      <c r="C7" s="7" t="s">
        <v>53</v>
      </c>
      <c r="D7" s="7">
        <v>71955421</v>
      </c>
      <c r="E7" s="7">
        <v>941296790</v>
      </c>
      <c r="F7" s="16" t="s">
        <v>58</v>
      </c>
      <c r="G7" s="16" t="s">
        <v>59</v>
      </c>
      <c r="H7" s="14">
        <v>1</v>
      </c>
      <c r="I7" s="7" t="s">
        <v>39</v>
      </c>
      <c r="J7" s="7" t="s">
        <v>43</v>
      </c>
      <c r="K7" s="7" t="s">
        <v>45</v>
      </c>
      <c r="L7" s="7">
        <v>31</v>
      </c>
      <c r="M7" s="7" t="s">
        <v>70</v>
      </c>
      <c r="N7" s="7" t="s">
        <v>9</v>
      </c>
      <c r="O7" s="7" t="s">
        <v>30</v>
      </c>
      <c r="P7" s="8">
        <v>250</v>
      </c>
      <c r="Q7" s="9">
        <v>0.84</v>
      </c>
      <c r="R7" s="10">
        <f t="shared" si="0"/>
        <v>210</v>
      </c>
      <c r="S7" s="11">
        <v>3</v>
      </c>
      <c r="T7" s="10">
        <f t="shared" si="1"/>
        <v>70</v>
      </c>
      <c r="U7" s="7"/>
      <c r="V7" s="7"/>
      <c r="W7" s="7"/>
      <c r="X7" s="7"/>
      <c r="Y7" s="7"/>
    </row>
    <row r="8" spans="1:25" x14ac:dyDescent="0.2">
      <c r="A8" s="7" t="s">
        <v>2</v>
      </c>
      <c r="B8" s="7" t="s">
        <v>50</v>
      </c>
      <c r="C8" s="7" t="s">
        <v>53</v>
      </c>
      <c r="D8" s="7">
        <v>71955421</v>
      </c>
      <c r="E8" s="7">
        <v>941296790</v>
      </c>
      <c r="F8" s="16" t="s">
        <v>58</v>
      </c>
      <c r="G8" s="16" t="s">
        <v>59</v>
      </c>
      <c r="H8" s="14">
        <v>1</v>
      </c>
      <c r="I8" s="7" t="s">
        <v>39</v>
      </c>
      <c r="J8" s="7" t="s">
        <v>43</v>
      </c>
      <c r="K8" s="7" t="s">
        <v>45</v>
      </c>
      <c r="L8" s="7">
        <v>85</v>
      </c>
      <c r="M8" s="7" t="s">
        <v>71</v>
      </c>
      <c r="N8" s="7" t="s">
        <v>10</v>
      </c>
      <c r="O8" s="7" t="s">
        <v>31</v>
      </c>
      <c r="P8" s="8">
        <v>250</v>
      </c>
      <c r="Q8" s="9">
        <v>0.88</v>
      </c>
      <c r="R8" s="10">
        <f t="shared" si="0"/>
        <v>220</v>
      </c>
      <c r="S8" s="11">
        <v>3</v>
      </c>
      <c r="T8" s="10">
        <f t="shared" si="1"/>
        <v>73.333333333333329</v>
      </c>
      <c r="U8" s="7"/>
      <c r="V8" s="7"/>
      <c r="W8" s="7"/>
      <c r="X8" s="7"/>
      <c r="Y8" s="7"/>
    </row>
    <row r="9" spans="1:25" x14ac:dyDescent="0.2">
      <c r="A9" s="7" t="s">
        <v>2</v>
      </c>
      <c r="B9" s="7" t="s">
        <v>50</v>
      </c>
      <c r="C9" s="7" t="s">
        <v>53</v>
      </c>
      <c r="D9" s="7">
        <v>71955421</v>
      </c>
      <c r="E9" s="7">
        <v>941296790</v>
      </c>
      <c r="F9" s="16" t="s">
        <v>58</v>
      </c>
      <c r="G9" s="16" t="s">
        <v>59</v>
      </c>
      <c r="H9" s="14">
        <v>1</v>
      </c>
      <c r="I9" s="7" t="s">
        <v>39</v>
      </c>
      <c r="J9" s="7" t="s">
        <v>43</v>
      </c>
      <c r="K9" s="7" t="s">
        <v>45</v>
      </c>
      <c r="L9" s="12"/>
      <c r="M9" s="12"/>
      <c r="N9" s="7" t="s">
        <v>11</v>
      </c>
      <c r="O9" s="7" t="s">
        <v>12</v>
      </c>
      <c r="P9" s="8">
        <v>3</v>
      </c>
      <c r="Q9" s="9">
        <v>1</v>
      </c>
      <c r="R9" s="10">
        <f t="shared" si="0"/>
        <v>3</v>
      </c>
      <c r="S9" s="11">
        <v>3</v>
      </c>
      <c r="T9" s="10">
        <f t="shared" si="1"/>
        <v>1</v>
      </c>
      <c r="U9" s="7"/>
      <c r="V9" s="7"/>
      <c r="W9" s="7"/>
      <c r="X9" s="7"/>
      <c r="Y9" s="7"/>
    </row>
    <row r="10" spans="1:25" x14ac:dyDescent="0.2">
      <c r="A10" s="7" t="s">
        <v>2</v>
      </c>
      <c r="B10" s="7" t="s">
        <v>50</v>
      </c>
      <c r="C10" s="7" t="s">
        <v>61</v>
      </c>
      <c r="D10" s="7">
        <v>73654162</v>
      </c>
      <c r="E10" s="7">
        <v>941296790</v>
      </c>
      <c r="F10" s="7" t="s">
        <v>2</v>
      </c>
      <c r="G10" s="7" t="s">
        <v>2</v>
      </c>
      <c r="H10" s="14">
        <v>2</v>
      </c>
      <c r="I10" s="7" t="s">
        <v>40</v>
      </c>
      <c r="J10" s="7" t="s">
        <v>44</v>
      </c>
      <c r="K10" s="7" t="s">
        <v>46</v>
      </c>
      <c r="L10" s="7">
        <v>29</v>
      </c>
      <c r="M10" s="7" t="s">
        <v>68</v>
      </c>
      <c r="N10" s="7" t="s">
        <v>26</v>
      </c>
      <c r="O10" s="7" t="s">
        <v>4</v>
      </c>
      <c r="P10" s="8">
        <v>100</v>
      </c>
      <c r="Q10" s="9">
        <v>1</v>
      </c>
      <c r="R10" s="10">
        <f t="shared" si="0"/>
        <v>100</v>
      </c>
      <c r="S10" s="11">
        <v>5</v>
      </c>
      <c r="T10" s="10">
        <f t="shared" si="1"/>
        <v>20</v>
      </c>
      <c r="U10" s="7"/>
      <c r="V10" s="7"/>
      <c r="W10" s="7"/>
      <c r="X10" s="7"/>
      <c r="Y10" s="7"/>
    </row>
    <row r="11" spans="1:25" x14ac:dyDescent="0.2">
      <c r="A11" s="7" t="s">
        <v>2</v>
      </c>
      <c r="B11" s="7" t="s">
        <v>50</v>
      </c>
      <c r="C11" s="7" t="s">
        <v>61</v>
      </c>
      <c r="D11" s="7">
        <v>73654162</v>
      </c>
      <c r="E11" s="7">
        <v>941296790</v>
      </c>
      <c r="F11" s="7" t="s">
        <v>2</v>
      </c>
      <c r="G11" s="7" t="s">
        <v>2</v>
      </c>
      <c r="H11" s="14">
        <v>2</v>
      </c>
      <c r="I11" s="7" t="s">
        <v>40</v>
      </c>
      <c r="J11" s="7" t="s">
        <v>44</v>
      </c>
      <c r="K11" s="7" t="s">
        <v>46</v>
      </c>
      <c r="L11" s="7">
        <v>48</v>
      </c>
      <c r="M11" s="7" t="s">
        <v>72</v>
      </c>
      <c r="N11" s="7" t="s">
        <v>28</v>
      </c>
      <c r="O11" s="7" t="s">
        <v>29</v>
      </c>
      <c r="P11" s="8">
        <v>206</v>
      </c>
      <c r="Q11" s="9">
        <v>0.39</v>
      </c>
      <c r="R11" s="10">
        <f t="shared" si="0"/>
        <v>80.34</v>
      </c>
      <c r="S11" s="11">
        <v>5</v>
      </c>
      <c r="T11" s="10">
        <f t="shared" si="1"/>
        <v>16.068000000000001</v>
      </c>
      <c r="U11" s="7"/>
      <c r="V11" s="7"/>
      <c r="W11" s="7"/>
      <c r="X11" s="7"/>
      <c r="Y11" s="7"/>
    </row>
    <row r="12" spans="1:25" x14ac:dyDescent="0.2">
      <c r="A12" s="7" t="s">
        <v>2</v>
      </c>
      <c r="B12" s="7" t="s">
        <v>50</v>
      </c>
      <c r="C12" s="7" t="s">
        <v>61</v>
      </c>
      <c r="D12" s="7">
        <v>73654162</v>
      </c>
      <c r="E12" s="7">
        <v>941296790</v>
      </c>
      <c r="F12" s="7" t="s">
        <v>2</v>
      </c>
      <c r="G12" s="7" t="s">
        <v>2</v>
      </c>
      <c r="H12" s="14">
        <v>2</v>
      </c>
      <c r="I12" s="7" t="s">
        <v>40</v>
      </c>
      <c r="J12" s="7" t="s">
        <v>44</v>
      </c>
      <c r="K12" s="7" t="s">
        <v>46</v>
      </c>
      <c r="L12" s="7">
        <v>3</v>
      </c>
      <c r="M12" s="7" t="s">
        <v>73</v>
      </c>
      <c r="N12" s="7" t="s">
        <v>15</v>
      </c>
      <c r="O12" s="7" t="s">
        <v>16</v>
      </c>
      <c r="P12" s="8">
        <v>10</v>
      </c>
      <c r="Q12" s="9">
        <v>1</v>
      </c>
      <c r="R12" s="10">
        <f t="shared" si="0"/>
        <v>10</v>
      </c>
      <c r="S12" s="11">
        <v>5</v>
      </c>
      <c r="T12" s="10">
        <f t="shared" si="1"/>
        <v>2</v>
      </c>
      <c r="U12" s="7"/>
      <c r="V12" s="7"/>
      <c r="W12" s="7"/>
      <c r="X12" s="7"/>
      <c r="Y12" s="7"/>
    </row>
    <row r="13" spans="1:25" x14ac:dyDescent="0.2">
      <c r="A13" s="7" t="s">
        <v>2</v>
      </c>
      <c r="B13" s="7" t="s">
        <v>50</v>
      </c>
      <c r="C13" s="7" t="s">
        <v>61</v>
      </c>
      <c r="D13" s="7">
        <v>73654162</v>
      </c>
      <c r="E13" s="7">
        <v>941296790</v>
      </c>
      <c r="F13" s="7" t="s">
        <v>2</v>
      </c>
      <c r="G13" s="7" t="s">
        <v>2</v>
      </c>
      <c r="H13" s="14">
        <v>2</v>
      </c>
      <c r="I13" s="7" t="s">
        <v>40</v>
      </c>
      <c r="J13" s="7" t="s">
        <v>44</v>
      </c>
      <c r="K13" s="7" t="s">
        <v>46</v>
      </c>
      <c r="L13" s="7">
        <v>25</v>
      </c>
      <c r="M13" s="7" t="s">
        <v>69</v>
      </c>
      <c r="N13" s="7" t="s">
        <v>14</v>
      </c>
      <c r="O13" s="7" t="s">
        <v>17</v>
      </c>
      <c r="P13" s="8">
        <f>4.6*3</f>
        <v>13.799999999999999</v>
      </c>
      <c r="Q13" s="9">
        <v>1</v>
      </c>
      <c r="R13" s="10">
        <f t="shared" si="0"/>
        <v>13.799999999999999</v>
      </c>
      <c r="S13" s="11">
        <v>5</v>
      </c>
      <c r="T13" s="10">
        <f t="shared" si="1"/>
        <v>2.76</v>
      </c>
      <c r="U13" s="7"/>
      <c r="V13" s="7"/>
      <c r="W13" s="7"/>
      <c r="X13" s="7"/>
      <c r="Y13" s="7"/>
    </row>
    <row r="14" spans="1:25" x14ac:dyDescent="0.2">
      <c r="A14" s="7" t="s">
        <v>18</v>
      </c>
      <c r="B14" s="7" t="s">
        <v>51</v>
      </c>
      <c r="C14" s="7" t="s">
        <v>62</v>
      </c>
      <c r="D14" s="7">
        <v>67384672</v>
      </c>
      <c r="E14" s="7">
        <v>941296790</v>
      </c>
      <c r="F14" s="7" t="s">
        <v>18</v>
      </c>
      <c r="G14" s="7" t="s">
        <v>18</v>
      </c>
      <c r="H14" s="14">
        <v>3</v>
      </c>
      <c r="I14" s="7" t="s">
        <v>41</v>
      </c>
      <c r="J14" s="7" t="s">
        <v>44</v>
      </c>
      <c r="K14" s="7" t="s">
        <v>46</v>
      </c>
      <c r="L14" s="7">
        <v>97</v>
      </c>
      <c r="M14" s="7" t="s">
        <v>69</v>
      </c>
      <c r="N14" s="7" t="s">
        <v>19</v>
      </c>
      <c r="O14" s="7" t="s">
        <v>4</v>
      </c>
      <c r="P14" s="8">
        <f>12.3*5</f>
        <v>61.5</v>
      </c>
      <c r="Q14" s="9">
        <v>1</v>
      </c>
      <c r="R14" s="10">
        <f t="shared" si="0"/>
        <v>61.5</v>
      </c>
      <c r="S14" s="11">
        <v>4</v>
      </c>
      <c r="T14" s="10">
        <f t="shared" si="1"/>
        <v>15.375</v>
      </c>
      <c r="U14" s="7"/>
      <c r="V14" s="7"/>
      <c r="W14" s="7"/>
      <c r="X14" s="7"/>
      <c r="Y14" s="7"/>
    </row>
    <row r="15" spans="1:25" x14ac:dyDescent="0.2">
      <c r="A15" s="7" t="s">
        <v>18</v>
      </c>
      <c r="B15" s="7" t="s">
        <v>51</v>
      </c>
      <c r="C15" s="7" t="s">
        <v>62</v>
      </c>
      <c r="D15" s="7">
        <v>67384672</v>
      </c>
      <c r="E15" s="7">
        <v>941296790</v>
      </c>
      <c r="F15" s="7" t="s">
        <v>18</v>
      </c>
      <c r="G15" s="7" t="s">
        <v>18</v>
      </c>
      <c r="H15" s="14">
        <v>3</v>
      </c>
      <c r="I15" s="7" t="s">
        <v>41</v>
      </c>
      <c r="J15" s="7" t="s">
        <v>44</v>
      </c>
      <c r="K15" s="7" t="s">
        <v>46</v>
      </c>
      <c r="L15" s="12"/>
      <c r="M15" s="12"/>
      <c r="N15" s="7" t="s">
        <v>27</v>
      </c>
      <c r="O15" s="7" t="s">
        <v>21</v>
      </c>
      <c r="P15" s="8">
        <v>1</v>
      </c>
      <c r="Q15" s="9">
        <v>0</v>
      </c>
      <c r="R15" s="10">
        <f t="shared" si="0"/>
        <v>0</v>
      </c>
      <c r="S15" s="11">
        <v>4</v>
      </c>
      <c r="T15" s="10">
        <f t="shared" si="1"/>
        <v>0</v>
      </c>
      <c r="U15" s="7"/>
      <c r="V15" s="7"/>
      <c r="W15" s="7"/>
      <c r="X15" s="7"/>
      <c r="Y15" s="7"/>
    </row>
    <row r="16" spans="1:25" x14ac:dyDescent="0.2">
      <c r="A16" s="7" t="s">
        <v>18</v>
      </c>
      <c r="B16" s="7" t="s">
        <v>51</v>
      </c>
      <c r="C16" s="7" t="s">
        <v>62</v>
      </c>
      <c r="D16" s="7">
        <v>67384672</v>
      </c>
      <c r="E16" s="7">
        <v>941296790</v>
      </c>
      <c r="F16" s="7" t="s">
        <v>18</v>
      </c>
      <c r="G16" s="7" t="s">
        <v>18</v>
      </c>
      <c r="H16" s="14">
        <v>3</v>
      </c>
      <c r="I16" s="7" t="s">
        <v>41</v>
      </c>
      <c r="J16" s="7" t="s">
        <v>44</v>
      </c>
      <c r="K16" s="7" t="s">
        <v>46</v>
      </c>
      <c r="L16" s="7">
        <v>2</v>
      </c>
      <c r="M16" s="7" t="s">
        <v>73</v>
      </c>
      <c r="N16" s="7" t="s">
        <v>20</v>
      </c>
      <c r="O16" s="7" t="s">
        <v>22</v>
      </c>
      <c r="P16" s="8">
        <v>16.100000000000001</v>
      </c>
      <c r="Q16" s="9">
        <v>1</v>
      </c>
      <c r="R16" s="10">
        <f t="shared" si="0"/>
        <v>16.100000000000001</v>
      </c>
      <c r="S16" s="11">
        <v>4</v>
      </c>
      <c r="T16" s="10">
        <f t="shared" si="1"/>
        <v>4.0250000000000004</v>
      </c>
      <c r="U16" s="7"/>
      <c r="V16" s="7"/>
      <c r="W16" s="7"/>
      <c r="X16" s="7"/>
      <c r="Y1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BEATRIZ REYES NORABUENA</dc:creator>
  <cp:lastModifiedBy>Juan Pablo Portillo Laupa</cp:lastModifiedBy>
  <dcterms:created xsi:type="dcterms:W3CDTF">2025-10-31T20:00:56Z</dcterms:created>
  <dcterms:modified xsi:type="dcterms:W3CDTF">2025-11-05T15:29:25Z</dcterms:modified>
</cp:coreProperties>
</file>